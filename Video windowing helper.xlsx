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olt\Documents\Matlab2024b\"/>
    </mc:Choice>
  </mc:AlternateContent>
  <xr:revisionPtr revIDLastSave="0" documentId="13_ncr:1_{F3F7C2E7-35F6-4550-9320-20418680D1BE}" xr6:coauthVersionLast="47" xr6:coauthVersionMax="47" xr10:uidLastSave="{00000000-0000-0000-0000-000000000000}"/>
  <bookViews>
    <workbookView xWindow="-105" yWindow="10440" windowWidth="19410" windowHeight="105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9" i="1"/>
  <c r="D7" i="1"/>
  <c r="D8" i="1"/>
  <c r="H7" i="1"/>
  <c r="J7" i="1"/>
  <c r="L7" i="1"/>
  <c r="N7" i="1"/>
  <c r="P7" i="1"/>
  <c r="R7" i="1"/>
  <c r="D12" i="1" l="1"/>
  <c r="D11" i="1" s="1"/>
  <c r="H8" i="1" s="1"/>
  <c r="N8" i="1" l="1"/>
  <c r="J8" i="1"/>
  <c r="R8" i="1"/>
  <c r="P8" i="1"/>
  <c r="L8" i="1"/>
  <c r="G9" i="1" l="1"/>
</calcChain>
</file>

<file path=xl/sharedStrings.xml><?xml version="1.0" encoding="utf-8"?>
<sst xmlns="http://schemas.openxmlformats.org/spreadsheetml/2006/main" count="32" uniqueCount="20">
  <si>
    <t>This is a tool to help synchronize the video with the micrcontroller data for the Pull Force experiments</t>
  </si>
  <si>
    <t>Find the time difference</t>
  </si>
  <si>
    <t>Data t</t>
  </si>
  <si>
    <t>Video t</t>
  </si>
  <si>
    <t>Δt</t>
  </si>
  <si>
    <t xml:space="preserve">Start 1 </t>
  </si>
  <si>
    <t>Stop 1</t>
  </si>
  <si>
    <t>Start 2</t>
  </si>
  <si>
    <t>Stop 2</t>
  </si>
  <si>
    <t>Start 3</t>
  </si>
  <si>
    <t>Stop 3</t>
  </si>
  <si>
    <t>(seconds)</t>
  </si>
  <si>
    <t>Minutes :</t>
  </si>
  <si>
    <t>Seconds</t>
  </si>
  <si>
    <t>User Enters Data Where Yellow</t>
  </si>
  <si>
    <t>Video Time (S)</t>
  </si>
  <si>
    <t>Video Time (MM:SS)</t>
  </si>
  <si>
    <t>Data Time Format</t>
  </si>
  <si>
    <t>Output Windows</t>
  </si>
  <si>
    <t>Decimal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</si>
</sst>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5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4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5" fillId="0" borderId="12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zoomScaleNormal="100" workbookViewId="0">
      <selection activeCell="I6" sqref="I6"/>
    </sheetView>
  </sheetViews>
  <sheetFormatPr defaultRowHeight="15" x14ac:dyDescent="0.25"/>
  <cols>
    <col min="1" max="1" width="10.42578125" style="1" customWidth="1"/>
    <col min="2" max="2" width="11.140625" style="1" customWidth="1"/>
    <col min="3" max="4" width="9.140625" style="1"/>
    <col min="5" max="5" width="2" style="1" customWidth="1"/>
    <col min="6" max="6" width="20.7109375" style="20" customWidth="1"/>
    <col min="7" max="17" width="9" style="1" customWidth="1"/>
    <col min="18" max="16384" width="9.140625" style="1"/>
  </cols>
  <sheetData>
    <row r="1" spans="1:18" ht="21" x14ac:dyDescent="0.3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 x14ac:dyDescent="0.25">
      <c r="A2" s="33" t="s">
        <v>14</v>
      </c>
      <c r="B2" s="33"/>
      <c r="C2" s="33"/>
    </row>
    <row r="4" spans="1:18" x14ac:dyDescent="0.25">
      <c r="A4" s="28" t="s">
        <v>1</v>
      </c>
      <c r="B4" s="29"/>
      <c r="C4" s="29"/>
      <c r="D4" s="30"/>
      <c r="G4" s="10" t="s">
        <v>5</v>
      </c>
      <c r="H4" s="11"/>
      <c r="I4" s="10" t="s">
        <v>6</v>
      </c>
      <c r="J4" s="12"/>
      <c r="K4" s="7" t="s">
        <v>7</v>
      </c>
      <c r="L4" s="8"/>
      <c r="M4" s="7" t="s">
        <v>8</v>
      </c>
      <c r="N4" s="9"/>
      <c r="O4" s="10" t="s">
        <v>9</v>
      </c>
      <c r="P4" s="11"/>
      <c r="Q4" s="10" t="s">
        <v>10</v>
      </c>
      <c r="R4" s="12"/>
    </row>
    <row r="5" spans="1:18" x14ac:dyDescent="0.25">
      <c r="A5" s="3" t="s">
        <v>2</v>
      </c>
      <c r="B5" s="31" t="s">
        <v>3</v>
      </c>
      <c r="C5" s="31"/>
      <c r="D5" s="5" t="s">
        <v>4</v>
      </c>
      <c r="G5" s="13" t="s">
        <v>12</v>
      </c>
      <c r="H5" s="14" t="s">
        <v>13</v>
      </c>
      <c r="I5" s="13" t="s">
        <v>12</v>
      </c>
      <c r="J5" s="15" t="s">
        <v>13</v>
      </c>
      <c r="K5" s="3" t="s">
        <v>12</v>
      </c>
      <c r="L5" s="4" t="s">
        <v>13</v>
      </c>
      <c r="M5" s="3" t="s">
        <v>12</v>
      </c>
      <c r="N5" s="5" t="s">
        <v>13</v>
      </c>
      <c r="O5" s="13" t="s">
        <v>12</v>
      </c>
      <c r="P5" s="14" t="s">
        <v>13</v>
      </c>
      <c r="Q5" s="13" t="s">
        <v>12</v>
      </c>
      <c r="R5" s="15" t="s">
        <v>13</v>
      </c>
    </row>
    <row r="6" spans="1:18" x14ac:dyDescent="0.25">
      <c r="A6" s="6" t="s">
        <v>11</v>
      </c>
      <c r="B6" s="1" t="s">
        <v>12</v>
      </c>
      <c r="C6" s="2" t="s">
        <v>13</v>
      </c>
      <c r="D6" s="2"/>
      <c r="F6" s="20" t="s">
        <v>16</v>
      </c>
      <c r="G6" s="22">
        <v>4</v>
      </c>
      <c r="H6" s="18">
        <v>40</v>
      </c>
      <c r="I6" s="18"/>
      <c r="J6" s="18"/>
      <c r="K6" s="18"/>
      <c r="L6" s="18"/>
      <c r="M6" s="18"/>
      <c r="N6" s="18"/>
      <c r="O6" s="18"/>
      <c r="P6" s="18"/>
      <c r="Q6" s="18"/>
      <c r="R6" s="19"/>
    </row>
    <row r="7" spans="1:18" x14ac:dyDescent="0.25">
      <c r="A7" s="17">
        <v>17.600000000000001</v>
      </c>
      <c r="B7" s="18">
        <v>1</v>
      </c>
      <c r="C7" s="19">
        <v>29</v>
      </c>
      <c r="D7" s="2">
        <f t="shared" ref="D7:D9" si="0">A7-C7-B7*60</f>
        <v>-71.400000000000006</v>
      </c>
      <c r="F7" s="20" t="s">
        <v>15</v>
      </c>
      <c r="G7" s="23"/>
      <c r="H7" s="1">
        <f>H6+G6*60</f>
        <v>280</v>
      </c>
      <c r="I7" s="21"/>
      <c r="J7" s="1">
        <f>J6+I6*60</f>
        <v>0</v>
      </c>
      <c r="K7" s="21"/>
      <c r="L7" s="1">
        <f>L6+K6*60</f>
        <v>0</v>
      </c>
      <c r="M7" s="21"/>
      <c r="N7" s="1">
        <f>N6+M6*60</f>
        <v>0</v>
      </c>
      <c r="O7" s="21"/>
      <c r="P7" s="1">
        <f>P6+O6*60</f>
        <v>0</v>
      </c>
      <c r="Q7" s="21"/>
      <c r="R7" s="2">
        <f>R6+Q6*60</f>
        <v>0</v>
      </c>
    </row>
    <row r="8" spans="1:18" x14ac:dyDescent="0.25">
      <c r="A8" s="17">
        <v>28.3</v>
      </c>
      <c r="B8" s="18">
        <v>1</v>
      </c>
      <c r="C8" s="19">
        <v>39</v>
      </c>
      <c r="D8" s="2">
        <f>A8-C8-B8*60</f>
        <v>-70.7</v>
      </c>
      <c r="F8" s="20" t="s">
        <v>17</v>
      </c>
      <c r="G8" s="24"/>
      <c r="H8" s="4">
        <f>H7+$D$11</f>
        <v>209</v>
      </c>
      <c r="I8" s="24"/>
      <c r="J8" s="4">
        <f t="shared" ref="J8" si="1">J7+$D$11</f>
        <v>-71</v>
      </c>
      <c r="K8" s="24"/>
      <c r="L8" s="4">
        <f t="shared" ref="L8" si="2">L7+$D$11</f>
        <v>-71</v>
      </c>
      <c r="M8" s="24"/>
      <c r="N8" s="4">
        <f t="shared" ref="N8" si="3">N7+$D$11</f>
        <v>-71</v>
      </c>
      <c r="O8" s="24"/>
      <c r="P8" s="4">
        <f t="shared" ref="P8" si="4">P7+$D$11</f>
        <v>-71</v>
      </c>
      <c r="Q8" s="24"/>
      <c r="R8" s="5">
        <f t="shared" ref="R8" si="5">R7+$D$11</f>
        <v>-71</v>
      </c>
    </row>
    <row r="9" spans="1:18" x14ac:dyDescent="0.25">
      <c r="A9" s="17">
        <v>39.700000000000003</v>
      </c>
      <c r="B9" s="18">
        <v>1</v>
      </c>
      <c r="C9" s="19">
        <v>50</v>
      </c>
      <c r="D9" s="2">
        <f t="shared" si="0"/>
        <v>-70.3</v>
      </c>
      <c r="F9" s="34" t="s">
        <v>18</v>
      </c>
      <c r="G9" s="36" t="str">
        <f>"[" &amp; H8 &amp; ", " &amp; J8 &amp; "; " &amp; L8 &amp; ", " &amp; N8 &amp; "; " &amp; P8 &amp; ", " &amp; R8 &amp; "];"</f>
        <v>[209, -71; -71, -71; -71, -71];</v>
      </c>
      <c r="H9" s="37"/>
      <c r="I9" s="37"/>
      <c r="J9" s="38"/>
    </row>
    <row r="10" spans="1:18" x14ac:dyDescent="0.25">
      <c r="A10" s="25"/>
      <c r="B10" s="26"/>
      <c r="C10" s="27"/>
      <c r="D10" s="2">
        <f>A10-C10-B10*60</f>
        <v>0</v>
      </c>
      <c r="F10" s="35"/>
      <c r="G10" s="39"/>
      <c r="H10" s="40"/>
      <c r="I10" s="40"/>
      <c r="J10" s="41"/>
    </row>
    <row r="11" spans="1:18" x14ac:dyDescent="0.25">
      <c r="D11" s="16">
        <f>ROUND(D12,0)</f>
        <v>-71</v>
      </c>
    </row>
    <row r="12" spans="1:18" x14ac:dyDescent="0.25">
      <c r="C12" s="1" t="s">
        <v>19</v>
      </c>
      <c r="D12" s="16">
        <f>AVERAGEIF(D7:D10, "&lt;&gt;0")</f>
        <v>-70.800000000000011</v>
      </c>
    </row>
  </sheetData>
  <mergeCells count="6">
    <mergeCell ref="A4:D4"/>
    <mergeCell ref="B5:C5"/>
    <mergeCell ref="A1:R1"/>
    <mergeCell ref="A2:C2"/>
    <mergeCell ref="F9:F10"/>
    <mergeCell ref="G9:J10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Colt</dc:creator>
  <cp:lastModifiedBy>Colt W Nichols</cp:lastModifiedBy>
  <dcterms:created xsi:type="dcterms:W3CDTF">2015-06-05T18:17:20Z</dcterms:created>
  <dcterms:modified xsi:type="dcterms:W3CDTF">2025-08-05T03:07:12Z</dcterms:modified>
</cp:coreProperties>
</file>